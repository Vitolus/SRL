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orpa\Documents\Università\Magistrale\Anno2\TESI\project\SRL\SRL\results\"/>
    </mc:Choice>
  </mc:AlternateContent>
  <xr:revisionPtr revIDLastSave="0" documentId="13_ncr:1_{32FA4499-A205-4082-8014-A1E5B1B9EB6D}" xr6:coauthVersionLast="47" xr6:coauthVersionMax="47" xr10:uidLastSave="{00000000-0000-0000-0000-000000000000}"/>
  <bookViews>
    <workbookView xWindow="-110" yWindow="-110" windowWidth="21820" windowHeight="13900" activeTab="1" xr2:uid="{00000000-000D-0000-FFFF-FFFF00000000}"/>
  </bookViews>
  <sheets>
    <sheet name="Dependency-based" sheetId="1" r:id="rId1"/>
    <sheet name="Span-based" sheetId="2" r:id="rId2"/>
  </sheets>
  <calcPr calcId="191029"/>
  <extLst>
    <ext uri="GoogleSheetsCustomDataVersion2">
      <go:sheetsCustomData xmlns:go="http://customooxmlschemas.google.com/" r:id="rId6" roundtripDataChecksum="O3dul5VTG9qJH6bckBMXuISjKzusumlk/3Xuqo2jwCo="/>
    </ext>
  </extLst>
</workbook>
</file>

<file path=xl/calcChain.xml><?xml version="1.0" encoding="utf-8"?>
<calcChain xmlns="http://schemas.openxmlformats.org/spreadsheetml/2006/main">
  <c r="AA22" i="2" l="1"/>
  <c r="Z22" i="2"/>
  <c r="Y22" i="2"/>
  <c r="AA21" i="2"/>
  <c r="Z21" i="2"/>
  <c r="Y21" i="2"/>
  <c r="AA20" i="2"/>
  <c r="Z20" i="2"/>
  <c r="Y20" i="2"/>
  <c r="AA22" i="1"/>
  <c r="Z22" i="1"/>
  <c r="Y22" i="1"/>
  <c r="AA21" i="1"/>
  <c r="Z21" i="1"/>
  <c r="Y21" i="1"/>
  <c r="AA20" i="1"/>
  <c r="Z20" i="1"/>
  <c r="Y20" i="1"/>
  <c r="Y17" i="2"/>
  <c r="Z17" i="2"/>
  <c r="AA17" i="2"/>
  <c r="Y18" i="2"/>
  <c r="Z18" i="2"/>
  <c r="AA18" i="2"/>
  <c r="Y19" i="2"/>
  <c r="Z19" i="2"/>
  <c r="AA19" i="2"/>
  <c r="Y17" i="1"/>
  <c r="Z17" i="1"/>
  <c r="AA17" i="1"/>
  <c r="Y18" i="1"/>
  <c r="Z18" i="1"/>
  <c r="AA18" i="1"/>
  <c r="Y19" i="1"/>
  <c r="Z19" i="1"/>
  <c r="AA19" i="1"/>
  <c r="AA16" i="2"/>
  <c r="Z16" i="2"/>
  <c r="Y16" i="2"/>
  <c r="AA15" i="2"/>
  <c r="Z15" i="2"/>
  <c r="Y15" i="2"/>
  <c r="AA14" i="2"/>
  <c r="Z14" i="2"/>
  <c r="Y14" i="2"/>
  <c r="AA13" i="2"/>
  <c r="Z13" i="2"/>
  <c r="Y13" i="2"/>
  <c r="AA12" i="2"/>
  <c r="Z12" i="2"/>
  <c r="Y12" i="2"/>
  <c r="AA11" i="2"/>
  <c r="Z11" i="2"/>
  <c r="Y11" i="2"/>
  <c r="AA10" i="2"/>
  <c r="Z10" i="2"/>
  <c r="Y10" i="2"/>
  <c r="AA9" i="2"/>
  <c r="Z9" i="2"/>
  <c r="Y9" i="2"/>
  <c r="AA8" i="2"/>
  <c r="Z8" i="2"/>
  <c r="Y8" i="2"/>
  <c r="AA7" i="2"/>
  <c r="Z7" i="2"/>
  <c r="Y7" i="2"/>
  <c r="AA6" i="2"/>
  <c r="Z6" i="2"/>
  <c r="Y6" i="2"/>
  <c r="AA5" i="2"/>
  <c r="Z5" i="2"/>
  <c r="Y5" i="2"/>
  <c r="AA4" i="2"/>
  <c r="Z4" i="2"/>
  <c r="Y4" i="2"/>
  <c r="AA11" i="1"/>
  <c r="AA12" i="1"/>
  <c r="AA13" i="1"/>
  <c r="AA14" i="1"/>
  <c r="AA15" i="1"/>
  <c r="AA16" i="1"/>
  <c r="Z11" i="1"/>
  <c r="Z12" i="1"/>
  <c r="Z13" i="1"/>
  <c r="Z14" i="1"/>
  <c r="Z15" i="1"/>
  <c r="Z16" i="1"/>
  <c r="Y11" i="1"/>
  <c r="Y12" i="1"/>
  <c r="Y13" i="1"/>
  <c r="Y14" i="1"/>
  <c r="Y15" i="1"/>
  <c r="Y16" i="1"/>
  <c r="AA4" i="1"/>
  <c r="AA5" i="1"/>
  <c r="AA6" i="1"/>
  <c r="AA7" i="1"/>
  <c r="AA8" i="1"/>
  <c r="AA9" i="1"/>
  <c r="AA10" i="1"/>
  <c r="Z4" i="1"/>
  <c r="Z5" i="1"/>
  <c r="Z6" i="1"/>
  <c r="Z7" i="1"/>
  <c r="Z8" i="1"/>
  <c r="Z9" i="1"/>
  <c r="Z10" i="1"/>
  <c r="Y4" i="1"/>
  <c r="Y5" i="1"/>
  <c r="Y6" i="1"/>
  <c r="Y7" i="1"/>
  <c r="Y8" i="1"/>
  <c r="Y9" i="1"/>
  <c r="Y10" i="1"/>
</calcChain>
</file>

<file path=xl/sharedStrings.xml><?xml version="1.0" encoding="utf-8"?>
<sst xmlns="http://schemas.openxmlformats.org/spreadsheetml/2006/main" count="80" uniqueCount="21">
  <si>
    <t>English</t>
  </si>
  <si>
    <t>Chinese</t>
  </si>
  <si>
    <t>Spanish</t>
  </si>
  <si>
    <t>French</t>
  </si>
  <si>
    <t>Macro-Average</t>
  </si>
  <si>
    <t>Model</t>
  </si>
  <si>
    <t>Training data</t>
  </si>
  <si>
    <t>Test</t>
  </si>
  <si>
    <t>EN</t>
  </si>
  <si>
    <t>ZH</t>
  </si>
  <si>
    <t>EN-s</t>
  </si>
  <si>
    <t>ZH-s</t>
  </si>
  <si>
    <t>ES-s</t>
  </si>
  <si>
    <t>FR-s</t>
  </si>
  <si>
    <t>P</t>
  </si>
  <si>
    <t>R</t>
  </si>
  <si>
    <t>F1</t>
  </si>
  <si>
    <t>mT5</t>
  </si>
  <si>
    <t>mT0</t>
  </si>
  <si>
    <t>google/gemma-3-1b-it</t>
  </si>
  <si>
    <t>ONESHOT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</si>
</sst>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1" fillId="5" borderId="0" xfId="0" applyFont="1" applyFill="1"/>
    <xf numFmtId="4" fontId="1" fillId="0" borderId="0" xfId="0" applyNumberFormat="1" applyFont="1" applyAlignment="1">
      <alignment horizontal="right"/>
    </xf>
    <xf numFmtId="4" fontId="1" fillId="6" borderId="0" xfId="0" applyNumberFormat="1" applyFont="1" applyFill="1" applyAlignment="1">
      <alignment horizontal="right"/>
    </xf>
    <xf numFmtId="0" fontId="3" fillId="7" borderId="0" xfId="0" applyFont="1" applyFill="1"/>
    <xf numFmtId="0" fontId="4" fillId="7" borderId="0" xfId="0" applyFont="1" applyFill="1"/>
    <xf numFmtId="0" fontId="4" fillId="6" borderId="0" xfId="0" applyFont="1" applyFill="1"/>
    <xf numFmtId="0" fontId="4" fillId="8" borderId="0" xfId="0" applyFont="1" applyFill="1"/>
    <xf numFmtId="0" fontId="1" fillId="8" borderId="0" xfId="0" applyFont="1" applyFill="1"/>
    <xf numFmtId="0" fontId="1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microsoft.com/office/2022/11/relationships/FeaturePropertyBag" Target="featurePropertyBag/featurePropertyBag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R967"/>
  <sheetViews>
    <sheetView zoomScaleNormal="100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A20" sqref="A20:XFD22"/>
    </sheetView>
  </sheetViews>
  <sheetFormatPr defaultColWidth="12.54296875" defaultRowHeight="15" customHeight="1" x14ac:dyDescent="0.25"/>
  <cols>
    <col min="1" max="1" width="21.54296875" customWidth="1"/>
    <col min="2" max="7" width="7.7265625" customWidth="1"/>
    <col min="8" max="8" width="5" customWidth="1"/>
    <col min="9" max="11" width="6.453125" customWidth="1"/>
    <col min="12" max="12" width="3.81640625" customWidth="1"/>
    <col min="13" max="15" width="6.453125" customWidth="1"/>
    <col min="16" max="16" width="3.81640625" customWidth="1"/>
    <col min="17" max="19" width="6.453125" customWidth="1"/>
    <col min="20" max="20" width="3.81640625" customWidth="1"/>
    <col min="21" max="23" width="6.453125" customWidth="1"/>
    <col min="24" max="24" width="3.81640625" customWidth="1"/>
    <col min="25" max="44" width="6.453125" customWidth="1"/>
  </cols>
  <sheetData>
    <row r="1" spans="1:44" ht="15.75" customHeight="1" x14ac:dyDescent="0.3">
      <c r="A1" s="1"/>
      <c r="B1" s="1"/>
      <c r="C1" s="1"/>
      <c r="D1" s="1"/>
      <c r="E1" s="1"/>
      <c r="F1" s="1"/>
      <c r="G1" s="1"/>
      <c r="H1" s="1"/>
      <c r="I1" s="15" t="s">
        <v>0</v>
      </c>
      <c r="J1" s="16"/>
      <c r="K1" s="16"/>
      <c r="L1" s="2"/>
      <c r="M1" s="15" t="s">
        <v>1</v>
      </c>
      <c r="N1" s="16"/>
      <c r="O1" s="16"/>
      <c r="Q1" s="15" t="s">
        <v>2</v>
      </c>
      <c r="R1" s="16"/>
      <c r="S1" s="16"/>
      <c r="U1" s="15" t="s">
        <v>3</v>
      </c>
      <c r="V1" s="16"/>
      <c r="W1" s="16"/>
      <c r="Y1" s="15" t="s">
        <v>4</v>
      </c>
      <c r="Z1" s="16"/>
      <c r="AA1" s="16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spans="1:44" ht="15.75" customHeight="1" x14ac:dyDescent="0.3">
      <c r="A2" s="17" t="s">
        <v>5</v>
      </c>
      <c r="B2" s="19" t="s">
        <v>6</v>
      </c>
      <c r="C2" s="16"/>
      <c r="D2" s="16"/>
      <c r="E2" s="16"/>
      <c r="F2" s="16"/>
      <c r="G2" s="16"/>
      <c r="H2" s="1"/>
      <c r="I2" s="18" t="s">
        <v>7</v>
      </c>
      <c r="J2" s="16"/>
      <c r="K2" s="16"/>
      <c r="L2" s="2"/>
      <c r="M2" s="18" t="s">
        <v>7</v>
      </c>
      <c r="N2" s="16"/>
      <c r="O2" s="16"/>
      <c r="Q2" s="18" t="s">
        <v>7</v>
      </c>
      <c r="R2" s="16"/>
      <c r="S2" s="16"/>
      <c r="U2" s="18" t="s">
        <v>7</v>
      </c>
      <c r="V2" s="16"/>
      <c r="W2" s="16"/>
      <c r="Y2" s="18" t="s">
        <v>7</v>
      </c>
      <c r="Z2" s="16"/>
      <c r="AA2" s="16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4" ht="15.75" customHeight="1" x14ac:dyDescent="0.3">
      <c r="A3" s="16"/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1"/>
      <c r="I3" s="4" t="s">
        <v>14</v>
      </c>
      <c r="J3" s="4" t="s">
        <v>15</v>
      </c>
      <c r="K3" s="4" t="s">
        <v>16</v>
      </c>
      <c r="L3" s="2"/>
      <c r="M3" s="4" t="s">
        <v>14</v>
      </c>
      <c r="N3" s="4" t="s">
        <v>15</v>
      </c>
      <c r="O3" s="4" t="s">
        <v>16</v>
      </c>
      <c r="Q3" s="4" t="s">
        <v>14</v>
      </c>
      <c r="R3" s="4" t="s">
        <v>15</v>
      </c>
      <c r="S3" s="4" t="s">
        <v>16</v>
      </c>
      <c r="U3" s="4" t="s">
        <v>14</v>
      </c>
      <c r="V3" s="4" t="s">
        <v>15</v>
      </c>
      <c r="W3" s="4" t="s">
        <v>16</v>
      </c>
      <c r="Y3" s="4" t="s">
        <v>14</v>
      </c>
      <c r="Z3" s="4" t="s">
        <v>15</v>
      </c>
      <c r="AA3" s="4" t="s">
        <v>16</v>
      </c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44" ht="15.75" customHeight="1" x14ac:dyDescent="0.25">
      <c r="A4" s="5" t="s">
        <v>17</v>
      </c>
      <c r="B4" s="13" t="b">
        <v>1</v>
      </c>
      <c r="C4" s="13" t="b">
        <v>0</v>
      </c>
      <c r="D4" s="13" t="b">
        <v>0</v>
      </c>
      <c r="E4" s="13" t="b">
        <v>0</v>
      </c>
      <c r="F4" s="13" t="b">
        <v>0</v>
      </c>
      <c r="G4" s="13" t="b">
        <v>0</v>
      </c>
      <c r="H4" s="1"/>
      <c r="I4" s="6">
        <v>54</v>
      </c>
      <c r="J4" s="6">
        <v>43.69</v>
      </c>
      <c r="K4" s="7">
        <v>48.29</v>
      </c>
      <c r="L4" s="6"/>
      <c r="M4" s="6">
        <v>7.72</v>
      </c>
      <c r="N4" s="6">
        <v>2.54</v>
      </c>
      <c r="O4" s="7">
        <v>3.82</v>
      </c>
      <c r="Q4" s="6">
        <v>43.71</v>
      </c>
      <c r="R4" s="6">
        <v>29.96</v>
      </c>
      <c r="S4" s="7">
        <v>35.549999999999997</v>
      </c>
      <c r="U4" s="6">
        <v>29.92</v>
      </c>
      <c r="V4" s="6">
        <v>22.03</v>
      </c>
      <c r="W4" s="7">
        <v>25.38</v>
      </c>
      <c r="Y4" s="6">
        <f t="shared" ref="Y4:Y9" si="0">AVERAGE(I4,M4,Q4,U4)</f>
        <v>33.837500000000006</v>
      </c>
      <c r="Z4" s="6">
        <f t="shared" ref="Z4:Z9" si="1">AVERAGE(J4,N4,R4,V4)</f>
        <v>24.555</v>
      </c>
      <c r="AA4" s="7">
        <f t="shared" ref="AA4:AA9" si="2">AVERAGE(K4,O4,S4,W4)</f>
        <v>28.259999999999998</v>
      </c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</row>
    <row r="5" spans="1:44" ht="15.75" customHeight="1" x14ac:dyDescent="0.25">
      <c r="A5" s="5"/>
      <c r="B5" s="13" t="b">
        <v>0</v>
      </c>
      <c r="C5" s="13" t="b">
        <v>1</v>
      </c>
      <c r="D5" s="13" t="b">
        <v>0</v>
      </c>
      <c r="E5" s="13" t="b">
        <v>0</v>
      </c>
      <c r="F5" s="13" t="b">
        <v>0</v>
      </c>
      <c r="G5" s="13" t="b">
        <v>0</v>
      </c>
      <c r="H5" s="1"/>
      <c r="I5" s="6">
        <v>15.76</v>
      </c>
      <c r="J5" s="6">
        <v>2.11</v>
      </c>
      <c r="K5" s="7">
        <v>3.72</v>
      </c>
      <c r="L5" s="6"/>
      <c r="M5" s="6">
        <v>25.38</v>
      </c>
      <c r="N5" s="6">
        <v>7.09</v>
      </c>
      <c r="O5" s="7">
        <v>11.09</v>
      </c>
      <c r="Q5" s="6">
        <v>6.66</v>
      </c>
      <c r="R5" s="6">
        <v>0.55000000000000004</v>
      </c>
      <c r="S5" s="7">
        <v>1.02</v>
      </c>
      <c r="U5" s="6">
        <v>13.7</v>
      </c>
      <c r="V5" s="6">
        <v>0.94</v>
      </c>
      <c r="W5" s="7">
        <v>1.76</v>
      </c>
      <c r="Y5" s="6">
        <f t="shared" si="0"/>
        <v>15.375</v>
      </c>
      <c r="Z5" s="6">
        <f t="shared" si="1"/>
        <v>2.6724999999999999</v>
      </c>
      <c r="AA5" s="7">
        <f t="shared" si="2"/>
        <v>4.3975</v>
      </c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</row>
    <row r="6" spans="1:44" ht="15.75" customHeight="1" x14ac:dyDescent="0.25">
      <c r="A6" s="5"/>
      <c r="B6" s="13" t="b">
        <v>1</v>
      </c>
      <c r="C6" s="13" t="b">
        <v>1</v>
      </c>
      <c r="D6" s="13" t="b">
        <v>0</v>
      </c>
      <c r="E6" s="13" t="b">
        <v>0</v>
      </c>
      <c r="F6" s="13" t="b">
        <v>0</v>
      </c>
      <c r="G6" s="13" t="b">
        <v>0</v>
      </c>
      <c r="H6" s="1"/>
      <c r="I6" s="6">
        <v>75.72</v>
      </c>
      <c r="J6" s="6">
        <v>63.52</v>
      </c>
      <c r="K6" s="7">
        <v>69.09</v>
      </c>
      <c r="L6" s="6"/>
      <c r="M6" s="6">
        <v>51.19</v>
      </c>
      <c r="N6" s="6">
        <v>43.84</v>
      </c>
      <c r="O6" s="7">
        <v>47.23</v>
      </c>
      <c r="Q6" s="6">
        <v>51.01</v>
      </c>
      <c r="R6" s="6">
        <v>47.58</v>
      </c>
      <c r="S6" s="7">
        <v>49.23</v>
      </c>
      <c r="U6" s="6">
        <v>33.81</v>
      </c>
      <c r="V6" s="6">
        <v>30.16</v>
      </c>
      <c r="W6" s="7">
        <v>31.88</v>
      </c>
      <c r="Y6" s="6">
        <f t="shared" si="0"/>
        <v>52.932499999999997</v>
      </c>
      <c r="Z6" s="6">
        <f t="shared" si="1"/>
        <v>46.274999999999999</v>
      </c>
      <c r="AA6" s="7">
        <f t="shared" si="2"/>
        <v>49.357499999999995</v>
      </c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</row>
    <row r="7" spans="1:44" ht="15.75" customHeight="1" x14ac:dyDescent="0.25">
      <c r="A7" s="5"/>
      <c r="B7" s="13" t="b">
        <v>1</v>
      </c>
      <c r="C7" s="13" t="b">
        <v>1</v>
      </c>
      <c r="D7" s="13" t="b">
        <v>0</v>
      </c>
      <c r="E7" s="13" t="b">
        <v>0</v>
      </c>
      <c r="F7" s="13" t="b">
        <v>1</v>
      </c>
      <c r="G7" s="13" t="b">
        <v>0</v>
      </c>
      <c r="H7" s="1"/>
      <c r="I7" s="6">
        <v>83.55</v>
      </c>
      <c r="J7" s="6">
        <v>77.489999999999995</v>
      </c>
      <c r="K7" s="7">
        <v>80.41</v>
      </c>
      <c r="L7" s="6"/>
      <c r="M7" s="6">
        <v>60.3</v>
      </c>
      <c r="N7" s="6">
        <v>56.52</v>
      </c>
      <c r="O7" s="7">
        <v>58.35</v>
      </c>
      <c r="Q7" s="6">
        <v>75.12</v>
      </c>
      <c r="R7" s="6">
        <v>68.11</v>
      </c>
      <c r="S7" s="7">
        <v>71.44</v>
      </c>
      <c r="U7" s="6">
        <v>37.36</v>
      </c>
      <c r="V7" s="6">
        <v>36</v>
      </c>
      <c r="W7" s="7">
        <v>36.67</v>
      </c>
      <c r="Y7" s="6">
        <f t="shared" si="0"/>
        <v>64.082499999999996</v>
      </c>
      <c r="Z7" s="6">
        <f t="shared" si="1"/>
        <v>59.53</v>
      </c>
      <c r="AA7" s="7">
        <f t="shared" si="2"/>
        <v>61.717500000000001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</row>
    <row r="8" spans="1:44" ht="15.75" customHeight="1" x14ac:dyDescent="0.25">
      <c r="A8" s="5"/>
      <c r="B8" s="13" t="b">
        <v>1</v>
      </c>
      <c r="C8" s="13" t="b">
        <v>1</v>
      </c>
      <c r="D8" s="13" t="b">
        <v>0</v>
      </c>
      <c r="E8" s="13" t="b">
        <v>0</v>
      </c>
      <c r="F8" s="13" t="b">
        <v>0</v>
      </c>
      <c r="G8" s="13" t="b">
        <v>1</v>
      </c>
      <c r="H8" s="1"/>
      <c r="I8" s="6">
        <v>76.98</v>
      </c>
      <c r="J8" s="6">
        <v>64.489999999999995</v>
      </c>
      <c r="K8" s="7">
        <v>70.19</v>
      </c>
      <c r="L8" s="6"/>
      <c r="M8" s="6">
        <v>52.62</v>
      </c>
      <c r="N8" s="6">
        <v>45.04</v>
      </c>
      <c r="O8" s="7">
        <v>48.53</v>
      </c>
      <c r="Q8" s="6">
        <v>49.47</v>
      </c>
      <c r="R8" s="6">
        <v>42.91</v>
      </c>
      <c r="S8" s="7">
        <v>45.96</v>
      </c>
      <c r="U8" s="6">
        <v>62.66</v>
      </c>
      <c r="V8" s="6">
        <v>50.45</v>
      </c>
      <c r="W8" s="7">
        <v>55.9</v>
      </c>
      <c r="Y8" s="6">
        <f t="shared" si="0"/>
        <v>60.432499999999997</v>
      </c>
      <c r="Z8" s="6">
        <f t="shared" si="1"/>
        <v>50.722499999999997</v>
      </c>
      <c r="AA8" s="7">
        <f t="shared" si="2"/>
        <v>55.145000000000003</v>
      </c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15.75" customHeight="1" x14ac:dyDescent="0.25">
      <c r="A9" s="5"/>
      <c r="B9" s="13" t="b">
        <v>1</v>
      </c>
      <c r="C9" s="13" t="b">
        <v>1</v>
      </c>
      <c r="D9" s="13" t="b">
        <v>1</v>
      </c>
      <c r="E9" s="13" t="b">
        <v>1</v>
      </c>
      <c r="F9" s="13" t="b">
        <v>1</v>
      </c>
      <c r="G9" s="13" t="b">
        <v>1</v>
      </c>
      <c r="H9" s="1"/>
      <c r="I9" s="6">
        <v>79.95</v>
      </c>
      <c r="J9" s="6">
        <v>68.239999999999995</v>
      </c>
      <c r="K9" s="7">
        <v>73.63</v>
      </c>
      <c r="L9" s="6"/>
      <c r="M9" s="6">
        <v>54.3</v>
      </c>
      <c r="N9" s="6">
        <v>48.27</v>
      </c>
      <c r="O9" s="7">
        <v>51.11</v>
      </c>
      <c r="Q9" s="6">
        <v>69.88</v>
      </c>
      <c r="R9" s="6">
        <v>58.96</v>
      </c>
      <c r="S9" s="7">
        <v>63.96</v>
      </c>
      <c r="U9" s="6">
        <v>64.62</v>
      </c>
      <c r="V9" s="6">
        <v>53.16</v>
      </c>
      <c r="W9" s="7">
        <v>58.33</v>
      </c>
      <c r="Y9" s="6">
        <f t="shared" si="0"/>
        <v>67.1875</v>
      </c>
      <c r="Z9" s="6">
        <f t="shared" si="1"/>
        <v>57.157499999999999</v>
      </c>
      <c r="AA9" s="7">
        <f t="shared" si="2"/>
        <v>61.757499999999993</v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</row>
    <row r="10" spans="1:44" ht="15.75" customHeight="1" x14ac:dyDescent="0.35">
      <c r="A10" s="8" t="s">
        <v>18</v>
      </c>
      <c r="B10" s="13" t="b">
        <v>1</v>
      </c>
      <c r="C10" s="13" t="b">
        <v>0</v>
      </c>
      <c r="D10" s="13" t="b">
        <v>0</v>
      </c>
      <c r="E10" s="13" t="b">
        <v>0</v>
      </c>
      <c r="F10" s="13" t="b">
        <v>0</v>
      </c>
      <c r="G10" s="13" t="b">
        <v>0</v>
      </c>
      <c r="H10" s="1"/>
      <c r="I10" s="6">
        <v>83.5</v>
      </c>
      <c r="J10" s="6">
        <v>79.5</v>
      </c>
      <c r="K10" s="7">
        <v>81.45</v>
      </c>
      <c r="L10" s="6"/>
      <c r="M10" s="6">
        <v>8.8699999999999992</v>
      </c>
      <c r="N10" s="6">
        <v>5.8</v>
      </c>
      <c r="O10" s="7">
        <v>7.01</v>
      </c>
      <c r="Q10" s="6">
        <v>47.65</v>
      </c>
      <c r="R10" s="6">
        <v>48.68</v>
      </c>
      <c r="S10" s="7">
        <v>48.16</v>
      </c>
      <c r="U10" s="6">
        <v>31.26</v>
      </c>
      <c r="V10" s="6">
        <v>30.92</v>
      </c>
      <c r="W10" s="7">
        <v>31.09</v>
      </c>
      <c r="Y10" s="6">
        <f>AVERAGE(I10,M10,Q10,U10)</f>
        <v>42.82</v>
      </c>
      <c r="Z10" s="6">
        <f>AVERAGE(J10,N10,R10,V10)</f>
        <v>41.224999999999994</v>
      </c>
      <c r="AA10" s="7">
        <f>AVERAGE(K10,O10,S10,W10)</f>
        <v>41.927500000000002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</row>
    <row r="11" spans="1:44" ht="15.75" customHeight="1" x14ac:dyDescent="0.25">
      <c r="A11" s="9"/>
      <c r="B11" s="13" t="b">
        <v>0</v>
      </c>
      <c r="C11" s="13" t="b">
        <v>1</v>
      </c>
      <c r="D11" s="13" t="b">
        <v>0</v>
      </c>
      <c r="E11" s="13" t="b">
        <v>0</v>
      </c>
      <c r="F11" s="13" t="b">
        <v>0</v>
      </c>
      <c r="G11" s="13" t="b">
        <v>0</v>
      </c>
      <c r="I11">
        <v>11.78</v>
      </c>
      <c r="J11">
        <v>10.95</v>
      </c>
      <c r="K11" s="10">
        <v>11.35</v>
      </c>
      <c r="M11">
        <v>59.29</v>
      </c>
      <c r="N11">
        <v>56.76</v>
      </c>
      <c r="O11" s="10">
        <v>58</v>
      </c>
      <c r="Q11">
        <v>10.210000000000001</v>
      </c>
      <c r="R11">
        <v>8.76</v>
      </c>
      <c r="S11">
        <v>9.43</v>
      </c>
      <c r="U11">
        <v>9.6</v>
      </c>
      <c r="V11">
        <v>7.62</v>
      </c>
      <c r="W11" s="10">
        <v>8.5</v>
      </c>
      <c r="Y11" s="6">
        <f t="shared" ref="Y11:Y16" si="3">AVERAGE(I11,M11,Q11,U11)</f>
        <v>22.72</v>
      </c>
      <c r="Z11" s="6">
        <f t="shared" ref="Z11:Z16" si="4">AVERAGE(J11,N11,R11,V11)</f>
        <v>21.022500000000001</v>
      </c>
      <c r="AA11" s="7">
        <f t="shared" ref="AA11:AA16" si="5">AVERAGE(K11,O11,S11,W11)</f>
        <v>21.82</v>
      </c>
    </row>
    <row r="12" spans="1:44" ht="15.75" customHeight="1" x14ac:dyDescent="0.25">
      <c r="A12" s="9"/>
      <c r="B12" s="13" t="b">
        <v>1</v>
      </c>
      <c r="C12" s="13" t="b">
        <v>1</v>
      </c>
      <c r="D12" s="13" t="b">
        <v>0</v>
      </c>
      <c r="E12" s="13" t="b">
        <v>0</v>
      </c>
      <c r="F12" s="13" t="b">
        <v>0</v>
      </c>
      <c r="G12" s="13" t="b">
        <v>0</v>
      </c>
      <c r="I12">
        <v>81.319999999999993</v>
      </c>
      <c r="J12">
        <v>82.15</v>
      </c>
      <c r="K12" s="10">
        <v>81.73</v>
      </c>
      <c r="M12">
        <v>61.38</v>
      </c>
      <c r="N12">
        <v>59.94</v>
      </c>
      <c r="O12" s="10">
        <v>60.65</v>
      </c>
      <c r="Q12">
        <v>39.159999999999997</v>
      </c>
      <c r="R12">
        <v>46.16</v>
      </c>
      <c r="S12" s="10">
        <v>42.37</v>
      </c>
      <c r="U12">
        <v>25.57</v>
      </c>
      <c r="V12">
        <v>27.82</v>
      </c>
      <c r="W12" s="10">
        <v>26.65</v>
      </c>
      <c r="Y12" s="6">
        <f t="shared" si="3"/>
        <v>51.857499999999995</v>
      </c>
      <c r="Z12" s="6">
        <f t="shared" si="4"/>
        <v>54.017499999999998</v>
      </c>
      <c r="AA12" s="7">
        <f t="shared" si="5"/>
        <v>52.85</v>
      </c>
    </row>
    <row r="13" spans="1:44" ht="15.65" customHeight="1" x14ac:dyDescent="0.25">
      <c r="A13" s="9"/>
      <c r="B13" s="13" t="b">
        <v>1</v>
      </c>
      <c r="C13" s="13" t="b">
        <v>1</v>
      </c>
      <c r="D13" s="13" t="b">
        <v>0</v>
      </c>
      <c r="E13" s="13" t="b">
        <v>0</v>
      </c>
      <c r="F13" s="13" t="b">
        <v>1</v>
      </c>
      <c r="G13" s="13" t="b">
        <v>0</v>
      </c>
      <c r="I13" s="6">
        <v>71.64</v>
      </c>
      <c r="J13" s="6">
        <v>58.48</v>
      </c>
      <c r="K13" s="10">
        <v>64.39</v>
      </c>
      <c r="M13" s="6">
        <v>50.74</v>
      </c>
      <c r="N13" s="6">
        <v>42.33</v>
      </c>
      <c r="O13" s="10">
        <v>46.16</v>
      </c>
      <c r="Q13" s="6">
        <v>64.650000000000006</v>
      </c>
      <c r="R13" s="6">
        <v>51.8</v>
      </c>
      <c r="S13" s="10">
        <v>57.51</v>
      </c>
      <c r="U13" s="6">
        <v>36.61</v>
      </c>
      <c r="V13" s="6">
        <v>27.19</v>
      </c>
      <c r="W13" s="10">
        <v>31.21</v>
      </c>
      <c r="Y13" s="6">
        <f t="shared" si="3"/>
        <v>55.91</v>
      </c>
      <c r="Z13" s="6">
        <f t="shared" si="4"/>
        <v>44.95</v>
      </c>
      <c r="AA13" s="7">
        <f t="shared" si="5"/>
        <v>49.817500000000003</v>
      </c>
    </row>
    <row r="14" spans="1:44" ht="15.65" customHeight="1" x14ac:dyDescent="0.25">
      <c r="A14" s="9"/>
      <c r="B14" s="13" t="b">
        <v>1</v>
      </c>
      <c r="C14" s="13" t="b">
        <v>1</v>
      </c>
      <c r="D14" s="13" t="b">
        <v>0</v>
      </c>
      <c r="E14" s="13" t="b">
        <v>0</v>
      </c>
      <c r="F14" s="13" t="b">
        <v>0</v>
      </c>
      <c r="G14" s="13" t="b">
        <v>1</v>
      </c>
      <c r="I14" s="6">
        <v>83.32</v>
      </c>
      <c r="J14" s="6">
        <v>79.87</v>
      </c>
      <c r="K14" s="10">
        <v>81.56</v>
      </c>
      <c r="M14" s="6">
        <v>61.41</v>
      </c>
      <c r="N14" s="6">
        <v>59.63</v>
      </c>
      <c r="O14" s="10">
        <v>60.5</v>
      </c>
      <c r="Q14" s="6">
        <v>50.2</v>
      </c>
      <c r="R14" s="6">
        <v>47.36</v>
      </c>
      <c r="S14" s="10">
        <v>48.74</v>
      </c>
      <c r="U14" s="6">
        <v>68.39</v>
      </c>
      <c r="V14" s="6">
        <v>64.540000000000006</v>
      </c>
      <c r="W14" s="10">
        <v>66.41</v>
      </c>
      <c r="Y14" s="6">
        <f t="shared" si="3"/>
        <v>65.83</v>
      </c>
      <c r="Z14" s="6">
        <f t="shared" si="4"/>
        <v>62.850000000000009</v>
      </c>
      <c r="AA14" s="7">
        <f t="shared" si="5"/>
        <v>64.302500000000009</v>
      </c>
    </row>
    <row r="15" spans="1:44" ht="15.75" customHeight="1" x14ac:dyDescent="0.25">
      <c r="A15" s="9"/>
      <c r="B15" s="13" t="b">
        <v>1</v>
      </c>
      <c r="C15" s="13" t="b">
        <v>1</v>
      </c>
      <c r="D15" s="13" t="b">
        <v>1</v>
      </c>
      <c r="E15" s="13" t="b">
        <v>1</v>
      </c>
      <c r="F15" s="13" t="b">
        <v>1</v>
      </c>
      <c r="G15" s="13" t="b">
        <v>1</v>
      </c>
      <c r="I15" s="6">
        <v>84.2</v>
      </c>
      <c r="J15" s="6">
        <v>81.89</v>
      </c>
      <c r="K15" s="10">
        <v>83.03</v>
      </c>
      <c r="M15" s="6">
        <v>63.2</v>
      </c>
      <c r="N15" s="6">
        <v>61.63</v>
      </c>
      <c r="O15" s="10">
        <v>62.4</v>
      </c>
      <c r="Q15" s="6">
        <v>74.319999999999993</v>
      </c>
      <c r="R15" s="6">
        <v>72.95</v>
      </c>
      <c r="S15" s="10">
        <v>73.63</v>
      </c>
      <c r="U15" s="6">
        <v>67.69</v>
      </c>
      <c r="V15" s="6">
        <v>65.25</v>
      </c>
      <c r="W15" s="10">
        <v>66.45</v>
      </c>
      <c r="Y15" s="6">
        <f t="shared" si="3"/>
        <v>72.352499999999992</v>
      </c>
      <c r="Z15" s="6">
        <f t="shared" si="4"/>
        <v>70.430000000000007</v>
      </c>
      <c r="AA15" s="7">
        <f t="shared" si="5"/>
        <v>71.377499999999998</v>
      </c>
    </row>
    <row r="16" spans="1:44" ht="15.75" customHeight="1" x14ac:dyDescent="0.25">
      <c r="A16" s="11" t="s">
        <v>19</v>
      </c>
      <c r="B16" s="13" t="b">
        <v>0</v>
      </c>
      <c r="C16" s="13" t="b">
        <v>0</v>
      </c>
      <c r="D16" s="13" t="b">
        <v>0</v>
      </c>
      <c r="E16" s="13" t="b">
        <v>0</v>
      </c>
      <c r="F16" s="13" t="b">
        <v>0</v>
      </c>
      <c r="G16" s="13" t="b">
        <v>0</v>
      </c>
      <c r="I16" s="6">
        <v>0</v>
      </c>
      <c r="J16" s="6">
        <v>0</v>
      </c>
      <c r="K16" s="7">
        <v>0</v>
      </c>
      <c r="L16" s="6"/>
      <c r="M16" s="6">
        <v>0</v>
      </c>
      <c r="N16" s="6">
        <v>0</v>
      </c>
      <c r="O16" s="7">
        <v>0</v>
      </c>
      <c r="Q16" s="6">
        <v>0</v>
      </c>
      <c r="R16" s="6">
        <v>0</v>
      </c>
      <c r="S16" s="7">
        <v>0</v>
      </c>
      <c r="U16" s="6">
        <v>0</v>
      </c>
      <c r="V16" s="6">
        <v>0</v>
      </c>
      <c r="W16" s="7">
        <v>0</v>
      </c>
      <c r="Y16" s="6">
        <f t="shared" si="3"/>
        <v>0</v>
      </c>
      <c r="Z16" s="6">
        <f t="shared" si="4"/>
        <v>0</v>
      </c>
      <c r="AA16" s="7">
        <f t="shared" si="5"/>
        <v>0</v>
      </c>
    </row>
    <row r="17" spans="1:44" ht="15.75" customHeight="1" x14ac:dyDescent="0.3">
      <c r="A17" s="12"/>
      <c r="B17" s="13" t="b">
        <v>0</v>
      </c>
      <c r="C17" s="13" t="b">
        <v>0</v>
      </c>
      <c r="D17" s="13" t="b">
        <v>1</v>
      </c>
      <c r="E17" s="13" t="b">
        <v>1</v>
      </c>
      <c r="F17" s="13" t="b">
        <v>1</v>
      </c>
      <c r="G17" s="13" t="b">
        <v>1</v>
      </c>
      <c r="H17" s="1"/>
      <c r="I17" s="6">
        <v>17.18</v>
      </c>
      <c r="J17" s="6">
        <v>7.58</v>
      </c>
      <c r="K17" s="7">
        <v>10.52</v>
      </c>
      <c r="L17" s="6"/>
      <c r="M17" s="6">
        <v>10.039999999999999</v>
      </c>
      <c r="N17" s="6">
        <v>3.77</v>
      </c>
      <c r="O17" s="7">
        <v>5.48</v>
      </c>
      <c r="Q17" s="6">
        <v>19.420000000000002</v>
      </c>
      <c r="R17" s="6">
        <v>8.6</v>
      </c>
      <c r="S17" s="7">
        <v>11.92</v>
      </c>
      <c r="U17" s="6">
        <v>13.54</v>
      </c>
      <c r="V17" s="6">
        <v>6.31</v>
      </c>
      <c r="W17" s="7">
        <v>8.61</v>
      </c>
      <c r="Y17" s="6">
        <f t="shared" ref="Y17:Y19" si="6">AVERAGE(I17,M17,Q17,U17)</f>
        <v>15.045</v>
      </c>
      <c r="Z17" s="6">
        <f t="shared" ref="Z17:Z19" si="7">AVERAGE(J17,N17,R17,V17)</f>
        <v>6.5649999999999995</v>
      </c>
      <c r="AA17" s="7">
        <f t="shared" ref="AA17:AA19" si="8">AVERAGE(K17,O17,S17,W17)</f>
        <v>9.1325000000000003</v>
      </c>
      <c r="AB17" s="2"/>
      <c r="AC17" s="2"/>
      <c r="AD17" s="2"/>
      <c r="AE17" s="1"/>
      <c r="AF17" s="15"/>
      <c r="AG17" s="16"/>
      <c r="AH17" s="16"/>
      <c r="AI17" s="16"/>
      <c r="AJ17" s="16"/>
      <c r="AK17" s="16"/>
      <c r="AL17" s="1"/>
      <c r="AM17" s="15"/>
      <c r="AN17" s="16"/>
      <c r="AO17" s="16"/>
      <c r="AP17" s="16"/>
      <c r="AQ17" s="16"/>
      <c r="AR17" s="16"/>
    </row>
    <row r="18" spans="1:44" ht="15.75" customHeight="1" x14ac:dyDescent="0.25">
      <c r="A18" s="11" t="s">
        <v>19</v>
      </c>
      <c r="B18" s="13" t="b">
        <v>0</v>
      </c>
      <c r="C18" s="13" t="b">
        <v>0</v>
      </c>
      <c r="D18" s="13" t="b">
        <v>0</v>
      </c>
      <c r="E18" s="13" t="b">
        <v>0</v>
      </c>
      <c r="F18" s="13" t="b">
        <v>0</v>
      </c>
      <c r="G18" s="13" t="b">
        <v>0</v>
      </c>
      <c r="I18" s="6">
        <v>0</v>
      </c>
      <c r="J18" s="6">
        <v>0</v>
      </c>
      <c r="K18" s="7">
        <v>0</v>
      </c>
      <c r="L18" s="6"/>
      <c r="M18" s="6">
        <v>0</v>
      </c>
      <c r="N18" s="6">
        <v>0</v>
      </c>
      <c r="O18" s="7">
        <v>0</v>
      </c>
      <c r="Q18" s="6">
        <v>0</v>
      </c>
      <c r="R18" s="6">
        <v>0</v>
      </c>
      <c r="S18" s="7">
        <v>0</v>
      </c>
      <c r="U18" s="6">
        <v>0</v>
      </c>
      <c r="V18" s="6">
        <v>0</v>
      </c>
      <c r="W18" s="7">
        <v>0</v>
      </c>
      <c r="Y18" s="6">
        <f t="shared" si="6"/>
        <v>0</v>
      </c>
      <c r="Z18" s="6">
        <f t="shared" si="7"/>
        <v>0</v>
      </c>
      <c r="AA18" s="7">
        <f t="shared" si="8"/>
        <v>0</v>
      </c>
    </row>
    <row r="19" spans="1:44" ht="15.75" customHeight="1" x14ac:dyDescent="0.25">
      <c r="A19" s="12" t="s">
        <v>20</v>
      </c>
      <c r="B19" s="13" t="b">
        <v>0</v>
      </c>
      <c r="C19" s="13" t="b">
        <v>0</v>
      </c>
      <c r="D19" s="13" t="b">
        <v>1</v>
      </c>
      <c r="E19" s="13" t="b">
        <v>1</v>
      </c>
      <c r="F19" s="13" t="b">
        <v>1</v>
      </c>
      <c r="G19" s="13" t="b">
        <v>1</v>
      </c>
      <c r="I19" s="6">
        <v>29.51</v>
      </c>
      <c r="J19" s="6">
        <v>19.73</v>
      </c>
      <c r="K19" s="7">
        <v>23.65</v>
      </c>
      <c r="L19" s="6"/>
      <c r="M19" s="6">
        <v>11.28</v>
      </c>
      <c r="N19" s="6">
        <v>7.16</v>
      </c>
      <c r="O19" s="7">
        <v>8.76</v>
      </c>
      <c r="Q19" s="6">
        <v>28.61</v>
      </c>
      <c r="R19" s="6">
        <v>21.41</v>
      </c>
      <c r="S19" s="7">
        <v>24.49</v>
      </c>
      <c r="U19" s="6">
        <v>28.93</v>
      </c>
      <c r="V19" s="6">
        <v>17.559999999999999</v>
      </c>
      <c r="W19" s="7">
        <v>21.85</v>
      </c>
      <c r="Y19" s="6">
        <f t="shared" si="6"/>
        <v>24.582500000000003</v>
      </c>
      <c r="Z19" s="6">
        <f t="shared" si="7"/>
        <v>16.465</v>
      </c>
      <c r="AA19" s="7">
        <f t="shared" si="8"/>
        <v>19.6875</v>
      </c>
    </row>
    <row r="20" spans="1:44" ht="15.75" customHeight="1" x14ac:dyDescent="0.25">
      <c r="A20" s="11" t="s">
        <v>19</v>
      </c>
      <c r="B20" s="13" t="b">
        <v>1</v>
      </c>
      <c r="C20" s="13" t="b">
        <v>0</v>
      </c>
      <c r="D20" s="13" t="b">
        <v>0</v>
      </c>
      <c r="E20" s="13" t="b">
        <v>0</v>
      </c>
      <c r="F20" s="13" t="b">
        <v>0</v>
      </c>
      <c r="G20" s="13" t="b">
        <v>0</v>
      </c>
      <c r="I20" s="6"/>
      <c r="J20" s="6"/>
      <c r="K20" s="7"/>
      <c r="L20" s="6"/>
      <c r="M20" s="6"/>
      <c r="N20" s="6"/>
      <c r="O20" s="7"/>
      <c r="Q20" s="6"/>
      <c r="R20" s="6"/>
      <c r="S20" s="7"/>
      <c r="U20" s="6"/>
      <c r="V20" s="6"/>
      <c r="W20" s="7"/>
      <c r="Y20" s="6" t="e">
        <f t="shared" ref="Y20:Y21" si="9">AVERAGE(I20,M20,Q20,U20)</f>
        <v>#DIV/0!</v>
      </c>
      <c r="Z20" s="6" t="e">
        <f t="shared" ref="Z20:Z21" si="10">AVERAGE(J20,N20,R20,V20)</f>
        <v>#DIV/0!</v>
      </c>
      <c r="AA20" s="7" t="e">
        <f t="shared" ref="AA20:AA21" si="11">AVERAGE(K20,O20,S20,W20)</f>
        <v>#DIV/0!</v>
      </c>
    </row>
    <row r="21" spans="1:44" ht="15.75" customHeight="1" x14ac:dyDescent="0.25">
      <c r="A21" s="12"/>
      <c r="B21" s="13" t="b">
        <v>0</v>
      </c>
      <c r="C21" s="13" t="b">
        <v>1</v>
      </c>
      <c r="D21" s="13" t="b">
        <v>0</v>
      </c>
      <c r="E21" s="13" t="b">
        <v>0</v>
      </c>
      <c r="F21" s="13" t="b">
        <v>0</v>
      </c>
      <c r="G21" s="13" t="b">
        <v>0</v>
      </c>
      <c r="I21" s="6"/>
      <c r="J21" s="6"/>
      <c r="K21" s="7"/>
      <c r="L21" s="6"/>
      <c r="M21" s="6"/>
      <c r="N21" s="6"/>
      <c r="O21" s="7"/>
      <c r="Q21" s="6"/>
      <c r="R21" s="6"/>
      <c r="S21" s="7"/>
      <c r="U21" s="6"/>
      <c r="V21" s="6"/>
      <c r="W21" s="7"/>
      <c r="Y21" s="6" t="e">
        <f t="shared" si="9"/>
        <v>#DIV/0!</v>
      </c>
      <c r="Z21" s="6" t="e">
        <f t="shared" si="10"/>
        <v>#DIV/0!</v>
      </c>
      <c r="AA21" s="7" t="e">
        <f t="shared" si="11"/>
        <v>#DIV/0!</v>
      </c>
    </row>
    <row r="22" spans="1:44" ht="15.75" customHeight="1" x14ac:dyDescent="0.25">
      <c r="A22" s="11" t="s">
        <v>19</v>
      </c>
      <c r="B22" s="13" t="b">
        <v>1</v>
      </c>
      <c r="C22" s="13" t="b">
        <v>1</v>
      </c>
      <c r="D22" s="13" t="b">
        <v>0</v>
      </c>
      <c r="E22" s="13" t="b">
        <v>0</v>
      </c>
      <c r="F22" s="13" t="b">
        <v>0</v>
      </c>
      <c r="G22" s="13" t="b">
        <v>0</v>
      </c>
      <c r="I22" s="6"/>
      <c r="J22" s="6"/>
      <c r="K22" s="7"/>
      <c r="L22" s="6"/>
      <c r="M22" s="6"/>
      <c r="N22" s="6"/>
      <c r="O22" s="7"/>
      <c r="Q22" s="6"/>
      <c r="R22" s="6"/>
      <c r="S22" s="7"/>
      <c r="U22" s="6"/>
      <c r="V22" s="6"/>
      <c r="W22" s="7"/>
      <c r="Y22" s="6" t="e">
        <f t="shared" ref="Y22" si="12">AVERAGE(I22,M22,Q22,U22)</f>
        <v>#DIV/0!</v>
      </c>
      <c r="Z22" s="6" t="e">
        <f t="shared" ref="Z22" si="13">AVERAGE(J22,N22,R22,V22)</f>
        <v>#DIV/0!</v>
      </c>
      <c r="AA22" s="7" t="e">
        <f t="shared" ref="AA22" si="14">AVERAGE(K22,O22,S22,W22)</f>
        <v>#DIV/0!</v>
      </c>
    </row>
    <row r="23" spans="1:44" ht="15.75" customHeight="1" x14ac:dyDescent="0.25"/>
    <row r="24" spans="1:44" ht="15.75" customHeight="1" x14ac:dyDescent="0.25"/>
    <row r="25" spans="1:44" ht="15.75" customHeight="1" x14ac:dyDescent="0.25"/>
    <row r="26" spans="1:44" ht="15.75" customHeight="1" x14ac:dyDescent="0.25"/>
    <row r="27" spans="1:44" ht="15.75" customHeight="1" x14ac:dyDescent="0.25"/>
    <row r="28" spans="1:44" ht="15.75" customHeight="1" x14ac:dyDescent="0.25"/>
    <row r="29" spans="1:44" ht="15.75" customHeight="1" x14ac:dyDescent="0.25"/>
    <row r="30" spans="1:44" ht="15.75" customHeight="1" x14ac:dyDescent="0.25"/>
    <row r="31" spans="1:44" ht="15.75" customHeight="1" x14ac:dyDescent="0.25"/>
    <row r="32" spans="1:4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</sheetData>
  <mergeCells count="14">
    <mergeCell ref="AM17:AR17"/>
    <mergeCell ref="I1:K1"/>
    <mergeCell ref="Q1:S1"/>
    <mergeCell ref="Y1:AA1"/>
    <mergeCell ref="A2:A3"/>
    <mergeCell ref="I2:K2"/>
    <mergeCell ref="Q2:S2"/>
    <mergeCell ref="Y2:AA2"/>
    <mergeCell ref="B2:G2"/>
    <mergeCell ref="M1:O1"/>
    <mergeCell ref="M2:O2"/>
    <mergeCell ref="U1:W1"/>
    <mergeCell ref="U2:W2"/>
    <mergeCell ref="AF17:AK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R974"/>
  <sheetViews>
    <sheetView tabSelected="1" workbookViewId="0">
      <selection activeCell="A23" sqref="A23"/>
    </sheetView>
  </sheetViews>
  <sheetFormatPr defaultColWidth="12.54296875" defaultRowHeight="15" customHeight="1" x14ac:dyDescent="0.25"/>
  <cols>
    <col min="1" max="1" width="21.54296875" customWidth="1"/>
    <col min="2" max="7" width="7.7265625" customWidth="1"/>
    <col min="8" max="8" width="5" customWidth="1"/>
    <col min="9" max="11" width="6.453125" customWidth="1"/>
    <col min="12" max="12" width="3.81640625" customWidth="1"/>
    <col min="13" max="15" width="6.453125" customWidth="1"/>
    <col min="16" max="16" width="3.81640625" customWidth="1"/>
    <col min="17" max="19" width="6.453125" customWidth="1"/>
    <col min="20" max="20" width="3.81640625" customWidth="1"/>
    <col min="21" max="23" width="6.453125" customWidth="1"/>
    <col min="24" max="24" width="3.81640625" customWidth="1"/>
    <col min="25" max="44" width="6.453125" customWidth="1"/>
  </cols>
  <sheetData>
    <row r="1" spans="1:44" ht="15.75" customHeight="1" x14ac:dyDescent="0.3">
      <c r="A1" s="1"/>
      <c r="B1" s="1"/>
      <c r="C1" s="1"/>
      <c r="D1" s="1"/>
      <c r="E1" s="1"/>
      <c r="F1" s="1"/>
      <c r="G1" s="1"/>
      <c r="H1" s="1"/>
      <c r="I1" s="15" t="s">
        <v>0</v>
      </c>
      <c r="J1" s="16"/>
      <c r="K1" s="16"/>
      <c r="L1" s="2"/>
      <c r="M1" s="15" t="s">
        <v>1</v>
      </c>
      <c r="N1" s="16"/>
      <c r="O1" s="16"/>
      <c r="Q1" s="15" t="s">
        <v>2</v>
      </c>
      <c r="R1" s="16"/>
      <c r="S1" s="16"/>
      <c r="U1" s="15" t="s">
        <v>3</v>
      </c>
      <c r="V1" s="16"/>
      <c r="W1" s="16"/>
      <c r="Y1" s="15" t="s">
        <v>4</v>
      </c>
      <c r="Z1" s="16"/>
      <c r="AA1" s="16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spans="1:44" ht="15.75" customHeight="1" x14ac:dyDescent="0.3">
      <c r="A2" s="17" t="s">
        <v>5</v>
      </c>
      <c r="B2" s="19" t="s">
        <v>6</v>
      </c>
      <c r="C2" s="16"/>
      <c r="D2" s="16"/>
      <c r="E2" s="16"/>
      <c r="F2" s="16"/>
      <c r="G2" s="16"/>
      <c r="H2" s="1"/>
      <c r="I2" s="18" t="s">
        <v>7</v>
      </c>
      <c r="J2" s="16"/>
      <c r="K2" s="16"/>
      <c r="L2" s="2"/>
      <c r="M2" s="18" t="s">
        <v>7</v>
      </c>
      <c r="N2" s="16"/>
      <c r="O2" s="16"/>
      <c r="Q2" s="18" t="s">
        <v>7</v>
      </c>
      <c r="R2" s="16"/>
      <c r="S2" s="16"/>
      <c r="U2" s="18" t="s">
        <v>7</v>
      </c>
      <c r="V2" s="16"/>
      <c r="W2" s="16"/>
      <c r="Y2" s="18" t="s">
        <v>7</v>
      </c>
      <c r="Z2" s="16"/>
      <c r="AA2" s="16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4" ht="15.75" customHeight="1" x14ac:dyDescent="0.3">
      <c r="A3" s="16"/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1"/>
      <c r="I3" s="4" t="s">
        <v>14</v>
      </c>
      <c r="J3" s="4" t="s">
        <v>15</v>
      </c>
      <c r="K3" s="4" t="s">
        <v>16</v>
      </c>
      <c r="L3" s="2"/>
      <c r="M3" s="4" t="s">
        <v>14</v>
      </c>
      <c r="N3" s="4" t="s">
        <v>15</v>
      </c>
      <c r="O3" s="4" t="s">
        <v>16</v>
      </c>
      <c r="Q3" s="4" t="s">
        <v>14</v>
      </c>
      <c r="R3" s="4" t="s">
        <v>15</v>
      </c>
      <c r="S3" s="4" t="s">
        <v>16</v>
      </c>
      <c r="U3" s="4" t="s">
        <v>14</v>
      </c>
      <c r="V3" s="4" t="s">
        <v>15</v>
      </c>
      <c r="W3" s="4" t="s">
        <v>16</v>
      </c>
      <c r="Y3" s="4" t="s">
        <v>14</v>
      </c>
      <c r="Z3" s="4" t="s">
        <v>15</v>
      </c>
      <c r="AA3" s="4" t="s">
        <v>16</v>
      </c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44" ht="15.75" customHeight="1" x14ac:dyDescent="0.25">
      <c r="A4" s="5" t="s">
        <v>17</v>
      </c>
      <c r="B4" s="13" t="b">
        <v>1</v>
      </c>
      <c r="C4" s="13" t="b">
        <v>0</v>
      </c>
      <c r="D4" s="13" t="b">
        <v>0</v>
      </c>
      <c r="E4" s="13" t="b">
        <v>0</v>
      </c>
      <c r="F4" s="13" t="b">
        <v>0</v>
      </c>
      <c r="G4" s="13" t="b">
        <v>0</v>
      </c>
      <c r="H4" s="1"/>
      <c r="I4" s="6">
        <v>61.11</v>
      </c>
      <c r="J4" s="6">
        <v>12.9</v>
      </c>
      <c r="K4" s="7">
        <v>21.3</v>
      </c>
      <c r="L4" s="6"/>
      <c r="M4" s="6">
        <v>37.08</v>
      </c>
      <c r="N4" s="6">
        <v>0.25</v>
      </c>
      <c r="O4" s="7">
        <v>0.5</v>
      </c>
      <c r="Q4" s="6">
        <v>50.39</v>
      </c>
      <c r="R4" s="6">
        <v>5.4</v>
      </c>
      <c r="S4" s="7">
        <v>9.7899999999999991</v>
      </c>
      <c r="U4" s="6">
        <v>56.5</v>
      </c>
      <c r="V4" s="6">
        <v>3.97</v>
      </c>
      <c r="W4" s="7">
        <v>7.42</v>
      </c>
      <c r="Y4" s="6">
        <f t="shared" ref="Y4:AA9" si="0">AVERAGE(I4,M4,Q4,U4)</f>
        <v>51.269999999999996</v>
      </c>
      <c r="Z4" s="6">
        <f t="shared" si="0"/>
        <v>5.63</v>
      </c>
      <c r="AA4" s="7">
        <f t="shared" si="0"/>
        <v>9.7524999999999995</v>
      </c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</row>
    <row r="5" spans="1:44" ht="15.75" customHeight="1" x14ac:dyDescent="0.25">
      <c r="A5" s="5"/>
      <c r="B5" s="13" t="b">
        <v>0</v>
      </c>
      <c r="C5" s="13" t="b">
        <v>1</v>
      </c>
      <c r="D5" s="13" t="b">
        <v>0</v>
      </c>
      <c r="E5" s="13" t="b">
        <v>0</v>
      </c>
      <c r="F5" s="13" t="b">
        <v>0</v>
      </c>
      <c r="G5" s="13" t="b">
        <v>0</v>
      </c>
      <c r="H5" s="1"/>
      <c r="I5" s="6">
        <v>33.21</v>
      </c>
      <c r="J5" s="6">
        <v>1.7</v>
      </c>
      <c r="K5" s="7">
        <v>3.24</v>
      </c>
      <c r="L5" s="6"/>
      <c r="M5" s="6">
        <v>51.65</v>
      </c>
      <c r="N5" s="6">
        <v>8.9499999999999993</v>
      </c>
      <c r="O5" s="7">
        <v>15.26</v>
      </c>
      <c r="Q5" s="6">
        <v>28.21</v>
      </c>
      <c r="R5" s="6">
        <v>0.64</v>
      </c>
      <c r="S5" s="7">
        <v>1.25</v>
      </c>
      <c r="U5" s="6">
        <v>33.76</v>
      </c>
      <c r="V5" s="6">
        <v>0.74</v>
      </c>
      <c r="W5" s="7">
        <v>1.46</v>
      </c>
      <c r="Y5" s="6">
        <f t="shared" si="0"/>
        <v>36.707499999999996</v>
      </c>
      <c r="Z5" s="6">
        <f t="shared" si="0"/>
        <v>3.0074999999999998</v>
      </c>
      <c r="AA5" s="7">
        <f t="shared" si="0"/>
        <v>5.3025000000000002</v>
      </c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</row>
    <row r="6" spans="1:44" ht="15.75" customHeight="1" x14ac:dyDescent="0.25">
      <c r="A6" s="5"/>
      <c r="B6" s="13" t="b">
        <v>1</v>
      </c>
      <c r="C6" s="13" t="b">
        <v>1</v>
      </c>
      <c r="D6" s="13" t="b">
        <v>0</v>
      </c>
      <c r="E6" s="13" t="b">
        <v>0</v>
      </c>
      <c r="F6" s="13" t="b">
        <v>0</v>
      </c>
      <c r="G6" s="13" t="b">
        <v>0</v>
      </c>
      <c r="H6" s="1"/>
      <c r="I6" s="6">
        <v>86.38</v>
      </c>
      <c r="J6" s="6">
        <v>77.430000000000007</v>
      </c>
      <c r="K6" s="7">
        <v>81.66</v>
      </c>
      <c r="L6" s="6"/>
      <c r="M6" s="6">
        <v>83.18</v>
      </c>
      <c r="N6" s="6">
        <v>60.95</v>
      </c>
      <c r="O6" s="7">
        <v>70.349999999999994</v>
      </c>
      <c r="Q6" s="6">
        <v>66.2</v>
      </c>
      <c r="R6" s="6">
        <v>52.29</v>
      </c>
      <c r="S6" s="7">
        <v>58.43</v>
      </c>
      <c r="U6" s="6">
        <v>62.45</v>
      </c>
      <c r="V6" s="6">
        <v>29.23</v>
      </c>
      <c r="W6" s="7">
        <v>39.82</v>
      </c>
      <c r="Y6" s="6">
        <f t="shared" si="0"/>
        <v>74.552499999999995</v>
      </c>
      <c r="Z6" s="6">
        <f t="shared" si="0"/>
        <v>54.974999999999994</v>
      </c>
      <c r="AA6" s="7">
        <f t="shared" si="0"/>
        <v>62.564999999999998</v>
      </c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</row>
    <row r="7" spans="1:44" ht="15.75" customHeight="1" x14ac:dyDescent="0.25">
      <c r="A7" s="5"/>
      <c r="B7" s="13" t="b">
        <v>1</v>
      </c>
      <c r="C7" s="13" t="b">
        <v>1</v>
      </c>
      <c r="D7" s="13" t="b">
        <v>0</v>
      </c>
      <c r="E7" s="13" t="b">
        <v>0</v>
      </c>
      <c r="F7" s="13" t="b">
        <v>1</v>
      </c>
      <c r="G7" s="13" t="b">
        <v>0</v>
      </c>
      <c r="H7" s="1"/>
      <c r="I7" s="6">
        <v>81.47</v>
      </c>
      <c r="J7" s="6">
        <v>66.98</v>
      </c>
      <c r="K7" s="6">
        <v>73.52</v>
      </c>
      <c r="L7" s="6"/>
      <c r="M7" s="7">
        <v>78</v>
      </c>
      <c r="N7" s="6">
        <v>50.34</v>
      </c>
      <c r="O7" s="7">
        <v>61.19</v>
      </c>
      <c r="Q7" s="6">
        <v>75.5</v>
      </c>
      <c r="R7" s="6">
        <v>63.66</v>
      </c>
      <c r="S7" s="7">
        <v>69.08</v>
      </c>
      <c r="U7" s="6">
        <v>64.91</v>
      </c>
      <c r="V7" s="6">
        <v>27.42</v>
      </c>
      <c r="W7" s="7">
        <v>38.549999999999997</v>
      </c>
      <c r="Y7" s="6">
        <f t="shared" si="0"/>
        <v>74.97</v>
      </c>
      <c r="Z7" s="6">
        <f t="shared" si="0"/>
        <v>52.100000000000009</v>
      </c>
      <c r="AA7" s="7">
        <f t="shared" si="0"/>
        <v>60.584999999999994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</row>
    <row r="8" spans="1:44" ht="15.75" customHeight="1" x14ac:dyDescent="0.25">
      <c r="A8" s="5"/>
      <c r="B8" s="13" t="b">
        <v>1</v>
      </c>
      <c r="C8" s="13" t="b">
        <v>1</v>
      </c>
      <c r="D8" s="13" t="b">
        <v>0</v>
      </c>
      <c r="E8" s="13" t="b">
        <v>0</v>
      </c>
      <c r="F8" s="13" t="b">
        <v>0</v>
      </c>
      <c r="G8" s="13" t="b">
        <v>1</v>
      </c>
      <c r="H8" s="1"/>
      <c r="I8" s="6">
        <v>76.5</v>
      </c>
      <c r="J8" s="6">
        <v>60.89</v>
      </c>
      <c r="K8" s="7">
        <v>67.81</v>
      </c>
      <c r="L8" s="6"/>
      <c r="M8" s="6">
        <v>81.84</v>
      </c>
      <c r="N8" s="6">
        <v>52.42</v>
      </c>
      <c r="O8" s="7">
        <v>63.9</v>
      </c>
      <c r="Q8" s="6">
        <v>68.92</v>
      </c>
      <c r="R8" s="6">
        <v>42.92</v>
      </c>
      <c r="S8" s="7">
        <v>52.9</v>
      </c>
      <c r="U8" s="6">
        <v>74.680000000000007</v>
      </c>
      <c r="V8" s="6">
        <v>62.44</v>
      </c>
      <c r="W8" s="7">
        <v>68.02</v>
      </c>
      <c r="Y8" s="6">
        <f t="shared" si="0"/>
        <v>75.484999999999999</v>
      </c>
      <c r="Z8" s="6">
        <f t="shared" si="0"/>
        <v>54.667500000000004</v>
      </c>
      <c r="AA8" s="7">
        <f t="shared" si="0"/>
        <v>63.157499999999999</v>
      </c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15.75" customHeight="1" x14ac:dyDescent="0.25">
      <c r="A9" s="5"/>
      <c r="B9" s="13" t="b">
        <v>1</v>
      </c>
      <c r="C9" s="13" t="b">
        <v>1</v>
      </c>
      <c r="D9" s="13" t="b">
        <v>1</v>
      </c>
      <c r="E9" s="13" t="b">
        <v>1</v>
      </c>
      <c r="F9" s="13" t="b">
        <v>1</v>
      </c>
      <c r="G9" s="13" t="b">
        <v>1</v>
      </c>
      <c r="H9" s="1"/>
      <c r="I9" s="6">
        <v>86.89</v>
      </c>
      <c r="J9" s="6">
        <v>76.94</v>
      </c>
      <c r="K9" s="7">
        <v>81.61</v>
      </c>
      <c r="L9" s="6"/>
      <c r="M9" s="6">
        <v>82.7</v>
      </c>
      <c r="N9" s="6">
        <v>60</v>
      </c>
      <c r="O9" s="7">
        <v>69.55</v>
      </c>
      <c r="Q9" s="6">
        <v>77.72</v>
      </c>
      <c r="R9" s="6">
        <v>71.209999999999994</v>
      </c>
      <c r="S9" s="7">
        <v>74.319999999999993</v>
      </c>
      <c r="U9" s="6">
        <v>74.58</v>
      </c>
      <c r="V9" s="6">
        <v>62.57</v>
      </c>
      <c r="W9" s="7">
        <v>68.05</v>
      </c>
      <c r="Y9" s="6">
        <f t="shared" si="0"/>
        <v>80.472499999999997</v>
      </c>
      <c r="Z9" s="6">
        <f t="shared" si="0"/>
        <v>67.679999999999993</v>
      </c>
      <c r="AA9" s="7">
        <f t="shared" si="0"/>
        <v>73.382499999999993</v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</row>
    <row r="10" spans="1:44" ht="15.75" customHeight="1" x14ac:dyDescent="0.35">
      <c r="A10" s="8" t="s">
        <v>18</v>
      </c>
      <c r="B10" s="13" t="b">
        <v>1</v>
      </c>
      <c r="C10" s="13" t="b">
        <v>0</v>
      </c>
      <c r="D10" s="13" t="b">
        <v>0</v>
      </c>
      <c r="E10" s="13" t="b">
        <v>0</v>
      </c>
      <c r="F10" s="13" t="b">
        <v>0</v>
      </c>
      <c r="G10" s="13" t="b">
        <v>0</v>
      </c>
      <c r="H10" s="1"/>
      <c r="I10" s="6">
        <v>85.5</v>
      </c>
      <c r="J10" s="6">
        <v>76.510000000000005</v>
      </c>
      <c r="K10" s="7">
        <v>80.760000000000005</v>
      </c>
      <c r="L10" s="6"/>
      <c r="M10" s="6">
        <v>37.54</v>
      </c>
      <c r="N10" s="6">
        <v>3.58</v>
      </c>
      <c r="O10" s="7">
        <v>6.53</v>
      </c>
      <c r="Q10" s="6">
        <v>59.82</v>
      </c>
      <c r="R10" s="6">
        <v>43.85</v>
      </c>
      <c r="S10" s="7">
        <v>50.6</v>
      </c>
      <c r="U10" s="6">
        <v>53.22</v>
      </c>
      <c r="V10" s="6">
        <v>17.920000000000002</v>
      </c>
      <c r="W10" s="7">
        <v>26.81</v>
      </c>
      <c r="Y10" s="6">
        <f>AVERAGE(I10,M10,Q10,U10)</f>
        <v>59.019999999999996</v>
      </c>
      <c r="Z10" s="6">
        <f>AVERAGE(J10,N10,R10,V10)</f>
        <v>35.465000000000003</v>
      </c>
      <c r="AA10" s="7">
        <f>AVERAGE(K10,O10,S10,W10)</f>
        <v>41.175000000000004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</row>
    <row r="11" spans="1:44" ht="15.75" customHeight="1" x14ac:dyDescent="0.25">
      <c r="A11" s="9"/>
      <c r="B11" s="13" t="b">
        <v>0</v>
      </c>
      <c r="C11" s="13" t="b">
        <v>1</v>
      </c>
      <c r="D11" s="13" t="b">
        <v>0</v>
      </c>
      <c r="E11" s="13" t="b">
        <v>0</v>
      </c>
      <c r="F11" s="13" t="b">
        <v>0</v>
      </c>
      <c r="G11" s="13" t="b">
        <v>0</v>
      </c>
      <c r="I11">
        <v>51.29</v>
      </c>
      <c r="J11">
        <v>17.059999999999999</v>
      </c>
      <c r="K11" s="10">
        <v>25.61</v>
      </c>
      <c r="M11">
        <v>82.84</v>
      </c>
      <c r="N11">
        <v>59.65</v>
      </c>
      <c r="O11" s="10">
        <v>69.36</v>
      </c>
      <c r="Q11">
        <v>50.13</v>
      </c>
      <c r="R11">
        <v>16.559999999999999</v>
      </c>
      <c r="S11">
        <v>24.9</v>
      </c>
      <c r="U11">
        <v>41.31</v>
      </c>
      <c r="V11">
        <v>9.69</v>
      </c>
      <c r="W11" s="10">
        <v>15.7</v>
      </c>
      <c r="Y11" s="6">
        <f t="shared" ref="Y11:AA22" si="1">AVERAGE(I11,M11,Q11,U11)</f>
        <v>56.392499999999998</v>
      </c>
      <c r="Z11" s="6">
        <f t="shared" si="1"/>
        <v>25.74</v>
      </c>
      <c r="AA11" s="7">
        <f t="shared" si="1"/>
        <v>33.892499999999998</v>
      </c>
    </row>
    <row r="12" spans="1:44" ht="15.75" customHeight="1" x14ac:dyDescent="0.25">
      <c r="A12" s="9"/>
      <c r="B12" s="13" t="b">
        <v>1</v>
      </c>
      <c r="C12" s="13" t="b">
        <v>1</v>
      </c>
      <c r="D12" s="13" t="b">
        <v>0</v>
      </c>
      <c r="E12" s="13" t="b">
        <v>0</v>
      </c>
      <c r="F12" s="13" t="b">
        <v>0</v>
      </c>
      <c r="G12" s="13" t="b">
        <v>0</v>
      </c>
      <c r="I12">
        <v>86.34</v>
      </c>
      <c r="J12">
        <v>77.760000000000005</v>
      </c>
      <c r="K12" s="10">
        <v>81.819999999999993</v>
      </c>
      <c r="M12">
        <v>82.81</v>
      </c>
      <c r="N12">
        <v>60.1</v>
      </c>
      <c r="O12" s="10">
        <v>69.650000000000006</v>
      </c>
      <c r="Q12">
        <v>69.11</v>
      </c>
      <c r="R12">
        <v>55.95</v>
      </c>
      <c r="S12" s="10">
        <v>61.84</v>
      </c>
      <c r="U12">
        <v>61.21</v>
      </c>
      <c r="V12">
        <v>23.24</v>
      </c>
      <c r="W12" s="10">
        <v>33.69</v>
      </c>
      <c r="Y12" s="6">
        <f t="shared" si="1"/>
        <v>74.867499999999993</v>
      </c>
      <c r="Z12" s="6">
        <f t="shared" si="1"/>
        <v>54.262500000000003</v>
      </c>
      <c r="AA12" s="7">
        <f t="shared" si="1"/>
        <v>61.75</v>
      </c>
    </row>
    <row r="13" spans="1:44" ht="15.65" customHeight="1" x14ac:dyDescent="0.25">
      <c r="A13" s="9"/>
      <c r="B13" s="13" t="b">
        <v>1</v>
      </c>
      <c r="C13" s="13" t="b">
        <v>1</v>
      </c>
      <c r="D13" s="13" t="b">
        <v>0</v>
      </c>
      <c r="E13" s="13" t="b">
        <v>0</v>
      </c>
      <c r="F13" s="13" t="b">
        <v>1</v>
      </c>
      <c r="G13" s="13" t="b">
        <v>0</v>
      </c>
      <c r="I13" s="6">
        <v>86.48</v>
      </c>
      <c r="J13" s="6">
        <v>77.95</v>
      </c>
      <c r="K13" s="10">
        <v>81.99</v>
      </c>
      <c r="M13" s="6">
        <v>82.65</v>
      </c>
      <c r="N13" s="6">
        <v>60.12</v>
      </c>
      <c r="O13" s="10">
        <v>69.599999999999994</v>
      </c>
      <c r="Q13" s="6">
        <v>77.16</v>
      </c>
      <c r="R13" s="6">
        <v>71.78</v>
      </c>
      <c r="S13" s="10">
        <v>74.37</v>
      </c>
      <c r="U13" s="6">
        <v>60.89</v>
      </c>
      <c r="V13" s="6">
        <v>23.1</v>
      </c>
      <c r="W13" s="10">
        <v>33.5</v>
      </c>
      <c r="Y13" s="6">
        <f t="shared" si="1"/>
        <v>76.795000000000002</v>
      </c>
      <c r="Z13" s="6">
        <f t="shared" si="1"/>
        <v>58.237499999999997</v>
      </c>
      <c r="AA13" s="7">
        <f t="shared" si="1"/>
        <v>64.864999999999995</v>
      </c>
    </row>
    <row r="14" spans="1:44" ht="15.65" customHeight="1" x14ac:dyDescent="0.25">
      <c r="A14" s="9"/>
      <c r="B14" s="13" t="b">
        <v>1</v>
      </c>
      <c r="C14" s="13" t="b">
        <v>1</v>
      </c>
      <c r="D14" s="13" t="b">
        <v>0</v>
      </c>
      <c r="E14" s="13" t="b">
        <v>0</v>
      </c>
      <c r="F14" s="13" t="b">
        <v>0</v>
      </c>
      <c r="G14" s="13" t="b">
        <v>1</v>
      </c>
      <c r="I14" s="6">
        <v>86.16</v>
      </c>
      <c r="J14" s="6">
        <v>76.94</v>
      </c>
      <c r="K14" s="10">
        <v>81.290000000000006</v>
      </c>
      <c r="M14" s="6">
        <v>81.33</v>
      </c>
      <c r="N14" s="6">
        <v>58.09</v>
      </c>
      <c r="O14" s="10">
        <v>67.77</v>
      </c>
      <c r="Q14" s="6">
        <v>70.06</v>
      </c>
      <c r="R14" s="6">
        <v>45.86</v>
      </c>
      <c r="S14" s="10">
        <v>55.43</v>
      </c>
      <c r="U14" s="6">
        <v>75.52</v>
      </c>
      <c r="V14" s="6">
        <v>63.68</v>
      </c>
      <c r="W14" s="10">
        <v>69.099999999999994</v>
      </c>
      <c r="Y14" s="6">
        <f t="shared" si="1"/>
        <v>78.267499999999998</v>
      </c>
      <c r="Z14" s="6">
        <f t="shared" si="1"/>
        <v>61.142499999999998</v>
      </c>
      <c r="AA14" s="7">
        <f t="shared" si="1"/>
        <v>68.397500000000008</v>
      </c>
    </row>
    <row r="15" spans="1:44" ht="15.75" customHeight="1" x14ac:dyDescent="0.25">
      <c r="A15" s="9"/>
      <c r="B15" s="13" t="b">
        <v>1</v>
      </c>
      <c r="C15" s="13" t="b">
        <v>1</v>
      </c>
      <c r="D15" s="13" t="b">
        <v>1</v>
      </c>
      <c r="E15" s="13" t="b">
        <v>1</v>
      </c>
      <c r="F15" s="13" t="b">
        <v>1</v>
      </c>
      <c r="G15" s="13" t="b">
        <v>1</v>
      </c>
      <c r="I15" s="6">
        <v>86.66</v>
      </c>
      <c r="J15" s="6">
        <v>77.48</v>
      </c>
      <c r="K15" s="10">
        <v>81.81</v>
      </c>
      <c r="M15" s="6">
        <v>83.26</v>
      </c>
      <c r="N15" s="6">
        <v>59.72</v>
      </c>
      <c r="O15" s="10">
        <v>69.56</v>
      </c>
      <c r="Q15" s="6">
        <v>76.55</v>
      </c>
      <c r="R15" s="6">
        <v>71.72</v>
      </c>
      <c r="S15" s="10">
        <v>74.06</v>
      </c>
      <c r="U15" s="6">
        <v>75.239999999999995</v>
      </c>
      <c r="V15" s="6">
        <v>63.34</v>
      </c>
      <c r="W15" s="10">
        <v>68.78</v>
      </c>
      <c r="Y15" s="6">
        <f t="shared" si="1"/>
        <v>80.427500000000009</v>
      </c>
      <c r="Z15" s="6">
        <f t="shared" si="1"/>
        <v>68.064999999999998</v>
      </c>
      <c r="AA15" s="7">
        <f t="shared" si="1"/>
        <v>73.552500000000009</v>
      </c>
    </row>
    <row r="16" spans="1:44" ht="15.75" customHeight="1" x14ac:dyDescent="0.25">
      <c r="A16" s="11" t="s">
        <v>19</v>
      </c>
      <c r="B16" s="13" t="b">
        <v>0</v>
      </c>
      <c r="C16" s="13" t="b">
        <v>0</v>
      </c>
      <c r="D16" s="13" t="b">
        <v>0</v>
      </c>
      <c r="E16" s="13" t="b">
        <v>0</v>
      </c>
      <c r="F16" s="13" t="b">
        <v>0</v>
      </c>
      <c r="G16" s="13" t="b">
        <v>0</v>
      </c>
      <c r="I16" s="6">
        <v>0</v>
      </c>
      <c r="J16" s="6">
        <v>0</v>
      </c>
      <c r="K16" s="7">
        <v>0</v>
      </c>
      <c r="L16" s="6"/>
      <c r="M16" s="6">
        <v>0</v>
      </c>
      <c r="N16" s="6">
        <v>0</v>
      </c>
      <c r="O16" s="7">
        <v>0</v>
      </c>
      <c r="Q16" s="6">
        <v>0</v>
      </c>
      <c r="R16" s="6">
        <v>0</v>
      </c>
      <c r="S16" s="7">
        <v>0</v>
      </c>
      <c r="U16" s="6">
        <v>0</v>
      </c>
      <c r="V16" s="6">
        <v>0</v>
      </c>
      <c r="W16" s="7">
        <v>0</v>
      </c>
      <c r="Y16" s="6">
        <f t="shared" si="1"/>
        <v>0</v>
      </c>
      <c r="Z16" s="6">
        <f t="shared" si="1"/>
        <v>0</v>
      </c>
      <c r="AA16" s="7">
        <f t="shared" si="1"/>
        <v>0</v>
      </c>
    </row>
    <row r="17" spans="1:44" ht="15.75" customHeight="1" x14ac:dyDescent="0.3">
      <c r="A17" s="12"/>
      <c r="B17" s="13" t="b">
        <v>0</v>
      </c>
      <c r="C17" s="13" t="b">
        <v>0</v>
      </c>
      <c r="D17" s="13" t="b">
        <v>1</v>
      </c>
      <c r="E17" s="13" t="b">
        <v>1</v>
      </c>
      <c r="F17" s="13" t="b">
        <v>1</v>
      </c>
      <c r="G17" s="13" t="b">
        <v>1</v>
      </c>
      <c r="H17" s="1"/>
      <c r="I17" s="6">
        <v>5.63</v>
      </c>
      <c r="J17" s="6">
        <v>1.1499999999999999</v>
      </c>
      <c r="K17" s="7">
        <v>1.91</v>
      </c>
      <c r="L17" s="6"/>
      <c r="M17" s="6">
        <v>10.48</v>
      </c>
      <c r="N17" s="6">
        <v>1.79</v>
      </c>
      <c r="O17" s="7">
        <v>3.05</v>
      </c>
      <c r="Q17" s="6">
        <v>6.26</v>
      </c>
      <c r="R17" s="6">
        <v>1.57</v>
      </c>
      <c r="S17" s="7">
        <v>2.5099999999999998</v>
      </c>
      <c r="U17" s="6">
        <v>4.5199999999999996</v>
      </c>
      <c r="V17" s="6">
        <v>1.08</v>
      </c>
      <c r="W17" s="7">
        <v>1.74</v>
      </c>
      <c r="X17" s="14"/>
      <c r="Y17" s="6">
        <f t="shared" si="1"/>
        <v>6.7224999999999993</v>
      </c>
      <c r="Z17" s="6">
        <f t="shared" si="1"/>
        <v>1.3975</v>
      </c>
      <c r="AA17" s="7">
        <f t="shared" si="1"/>
        <v>2.3024999999999998</v>
      </c>
      <c r="AB17" s="2"/>
      <c r="AC17" s="2"/>
      <c r="AD17" s="2"/>
      <c r="AE17" s="1"/>
      <c r="AF17" s="15"/>
      <c r="AG17" s="16"/>
      <c r="AH17" s="16"/>
      <c r="AI17" s="16"/>
      <c r="AJ17" s="16"/>
      <c r="AK17" s="16"/>
      <c r="AL17" s="1"/>
      <c r="AM17" s="15"/>
      <c r="AN17" s="16"/>
      <c r="AO17" s="16"/>
      <c r="AP17" s="16"/>
      <c r="AQ17" s="16"/>
      <c r="AR17" s="16"/>
    </row>
    <row r="18" spans="1:44" ht="15.75" customHeight="1" x14ac:dyDescent="0.25">
      <c r="A18" s="11" t="s">
        <v>19</v>
      </c>
      <c r="B18" s="13" t="b">
        <v>0</v>
      </c>
      <c r="C18" s="13" t="b">
        <v>0</v>
      </c>
      <c r="D18" s="13" t="b">
        <v>0</v>
      </c>
      <c r="E18" s="13" t="b">
        <v>0</v>
      </c>
      <c r="F18" s="13" t="b">
        <v>0</v>
      </c>
      <c r="G18" s="13" t="b">
        <v>0</v>
      </c>
      <c r="I18" s="6">
        <v>0</v>
      </c>
      <c r="J18" s="6">
        <v>0</v>
      </c>
      <c r="K18" s="7">
        <v>0</v>
      </c>
      <c r="L18" s="6"/>
      <c r="M18" s="6">
        <v>0</v>
      </c>
      <c r="N18" s="6">
        <v>0</v>
      </c>
      <c r="O18" s="7">
        <v>0</v>
      </c>
      <c r="Q18" s="6">
        <v>0</v>
      </c>
      <c r="R18" s="6">
        <v>0</v>
      </c>
      <c r="S18" s="7">
        <v>0</v>
      </c>
      <c r="U18" s="6">
        <v>0</v>
      </c>
      <c r="V18" s="6">
        <v>0</v>
      </c>
      <c r="W18" s="7">
        <v>0</v>
      </c>
      <c r="Y18" s="6">
        <f t="shared" si="1"/>
        <v>0</v>
      </c>
      <c r="Z18" s="6">
        <f t="shared" si="1"/>
        <v>0</v>
      </c>
      <c r="AA18" s="7">
        <f t="shared" si="1"/>
        <v>0</v>
      </c>
    </row>
    <row r="19" spans="1:44" ht="15.75" customHeight="1" x14ac:dyDescent="0.25">
      <c r="A19" s="12" t="s">
        <v>20</v>
      </c>
      <c r="B19" s="13" t="b">
        <v>0</v>
      </c>
      <c r="C19" s="13" t="b">
        <v>0</v>
      </c>
      <c r="D19" s="13" t="b">
        <v>1</v>
      </c>
      <c r="E19" s="13" t="b">
        <v>1</v>
      </c>
      <c r="F19" s="13" t="b">
        <v>1</v>
      </c>
      <c r="G19" s="13" t="b">
        <v>1</v>
      </c>
      <c r="I19" s="6">
        <v>29.86</v>
      </c>
      <c r="J19" s="6">
        <v>16.96</v>
      </c>
      <c r="K19" s="7">
        <v>21.63</v>
      </c>
      <c r="L19" s="6"/>
      <c r="M19" s="6">
        <v>39.65</v>
      </c>
      <c r="N19" s="6">
        <v>15.05</v>
      </c>
      <c r="O19" s="7">
        <v>21.81</v>
      </c>
      <c r="Q19" s="6">
        <v>27.66</v>
      </c>
      <c r="R19" s="6">
        <v>15.19</v>
      </c>
      <c r="S19" s="7">
        <v>19.61</v>
      </c>
      <c r="U19" s="6">
        <v>29.17</v>
      </c>
      <c r="V19" s="6">
        <v>14.74</v>
      </c>
      <c r="W19" s="7">
        <v>19.579999999999998</v>
      </c>
      <c r="X19" s="14"/>
      <c r="Y19" s="6">
        <f t="shared" si="1"/>
        <v>31.584999999999997</v>
      </c>
      <c r="Z19" s="6">
        <f t="shared" si="1"/>
        <v>15.485000000000001</v>
      </c>
      <c r="AA19" s="7">
        <f t="shared" si="1"/>
        <v>20.657499999999999</v>
      </c>
    </row>
    <row r="20" spans="1:44" ht="15.75" customHeight="1" x14ac:dyDescent="0.25">
      <c r="A20" s="11" t="s">
        <v>19</v>
      </c>
      <c r="B20" s="13" t="b">
        <v>1</v>
      </c>
      <c r="C20" s="13" t="b">
        <v>0</v>
      </c>
      <c r="D20" s="13" t="b">
        <v>0</v>
      </c>
      <c r="E20" s="13" t="b">
        <v>0</v>
      </c>
      <c r="F20" s="13" t="b">
        <v>0</v>
      </c>
      <c r="G20" s="13" t="b">
        <v>0</v>
      </c>
      <c r="I20" s="6"/>
      <c r="J20" s="6"/>
      <c r="K20" s="7"/>
      <c r="L20" s="6"/>
      <c r="M20" s="6"/>
      <c r="N20" s="6"/>
      <c r="O20" s="7"/>
      <c r="Q20" s="6"/>
      <c r="R20" s="6"/>
      <c r="S20" s="7"/>
      <c r="U20" s="6"/>
      <c r="V20" s="6"/>
      <c r="W20" s="7"/>
      <c r="Y20" s="6" t="e">
        <f t="shared" si="1"/>
        <v>#DIV/0!</v>
      </c>
      <c r="Z20" s="6" t="e">
        <f t="shared" si="1"/>
        <v>#DIV/0!</v>
      </c>
      <c r="AA20" s="7" t="e">
        <f t="shared" si="1"/>
        <v>#DIV/0!</v>
      </c>
    </row>
    <row r="21" spans="1:44" ht="15.75" customHeight="1" x14ac:dyDescent="0.25">
      <c r="A21" s="12"/>
      <c r="B21" s="13" t="b">
        <v>0</v>
      </c>
      <c r="C21" s="13" t="b">
        <v>1</v>
      </c>
      <c r="D21" s="13" t="b">
        <v>0</v>
      </c>
      <c r="E21" s="13" t="b">
        <v>0</v>
      </c>
      <c r="F21" s="13" t="b">
        <v>0</v>
      </c>
      <c r="G21" s="13" t="b">
        <v>0</v>
      </c>
      <c r="I21" s="6"/>
      <c r="J21" s="6"/>
      <c r="K21" s="7"/>
      <c r="L21" s="6"/>
      <c r="M21" s="6"/>
      <c r="N21" s="6"/>
      <c r="O21" s="7"/>
      <c r="Q21" s="6"/>
      <c r="R21" s="6"/>
      <c r="S21" s="7"/>
      <c r="U21" s="6"/>
      <c r="V21" s="6"/>
      <c r="W21" s="7"/>
      <c r="Y21" s="6" t="e">
        <f t="shared" si="1"/>
        <v>#DIV/0!</v>
      </c>
      <c r="Z21" s="6" t="e">
        <f t="shared" si="1"/>
        <v>#DIV/0!</v>
      </c>
      <c r="AA21" s="7" t="e">
        <f t="shared" si="1"/>
        <v>#DIV/0!</v>
      </c>
    </row>
    <row r="22" spans="1:44" ht="15.75" customHeight="1" x14ac:dyDescent="0.25">
      <c r="A22" s="11" t="s">
        <v>19</v>
      </c>
      <c r="B22" s="13" t="b">
        <v>1</v>
      </c>
      <c r="C22" s="13" t="b">
        <v>1</v>
      </c>
      <c r="D22" s="13" t="b">
        <v>0</v>
      </c>
      <c r="E22" s="13" t="b">
        <v>0</v>
      </c>
      <c r="F22" s="13" t="b">
        <v>0</v>
      </c>
      <c r="G22" s="13" t="b">
        <v>0</v>
      </c>
      <c r="I22" s="6"/>
      <c r="J22" s="6"/>
      <c r="K22" s="7"/>
      <c r="L22" s="6"/>
      <c r="M22" s="6"/>
      <c r="N22" s="6"/>
      <c r="O22" s="7"/>
      <c r="Q22" s="6"/>
      <c r="R22" s="6"/>
      <c r="S22" s="7"/>
      <c r="U22" s="6"/>
      <c r="V22" s="6"/>
      <c r="W22" s="7"/>
      <c r="Y22" s="6" t="e">
        <f t="shared" si="1"/>
        <v>#DIV/0!</v>
      </c>
      <c r="Z22" s="6" t="e">
        <f t="shared" si="1"/>
        <v>#DIV/0!</v>
      </c>
      <c r="AA22" s="7" t="e">
        <f t="shared" si="1"/>
        <v>#DIV/0!</v>
      </c>
    </row>
    <row r="23" spans="1:44" ht="15.75" customHeight="1" x14ac:dyDescent="0.25"/>
    <row r="24" spans="1:44" ht="15.75" customHeight="1" x14ac:dyDescent="0.25"/>
    <row r="25" spans="1:44" ht="15.75" customHeight="1" x14ac:dyDescent="0.25"/>
    <row r="26" spans="1:44" ht="15.75" customHeight="1" x14ac:dyDescent="0.25"/>
    <row r="27" spans="1:44" ht="15.75" customHeight="1" x14ac:dyDescent="0.25"/>
    <row r="28" spans="1:44" ht="15.75" customHeight="1" x14ac:dyDescent="0.25"/>
    <row r="29" spans="1:44" ht="15.75" customHeight="1" x14ac:dyDescent="0.25"/>
    <row r="30" spans="1:44" ht="15.75" customHeight="1" x14ac:dyDescent="0.25"/>
    <row r="31" spans="1:44" ht="15.75" customHeight="1" x14ac:dyDescent="0.25"/>
    <row r="32" spans="1:4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</sheetData>
  <mergeCells count="14">
    <mergeCell ref="AF17:AK17"/>
    <mergeCell ref="AM17:AR17"/>
    <mergeCell ref="I1:K1"/>
    <mergeCell ref="Q1:S1"/>
    <mergeCell ref="U1:W1"/>
    <mergeCell ref="Y1:AA1"/>
    <mergeCell ref="M1:O1"/>
    <mergeCell ref="A2:A3"/>
    <mergeCell ref="I2:K2"/>
    <mergeCell ref="Q2:S2"/>
    <mergeCell ref="Y2:AA2"/>
    <mergeCell ref="B2:G2"/>
    <mergeCell ref="M2:O2"/>
    <mergeCell ref="U2:W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Dependency-based</vt:lpstr>
      <vt:lpstr>Span-based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Lorenzo Pastore</cp:lastModifiedBy>
  <dcterms:modified xsi:type="dcterms:W3CDTF">2026-07-21T10:24:59Z</dcterms:modified>
</cp:coreProperties>
</file>